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fc357ff0efeb9fd/yuhang_code/BNI_combination/"/>
    </mc:Choice>
  </mc:AlternateContent>
  <xr:revisionPtr revIDLastSave="180" documentId="13_ncr:1_{FAF2BBD8-2720-40A0-97AE-74811104E28D}" xr6:coauthVersionLast="47" xr6:coauthVersionMax="47" xr10:uidLastSave="{E8386F6F-C6CE-4BBF-9BAD-2A074EB11018}"/>
  <bookViews>
    <workbookView xWindow="-120" yWindow="-120" windowWidth="29040" windowHeight="17520" xr2:uid="{00000000-000D-0000-FFFF-FFFF00000000}"/>
  </bookViews>
  <sheets>
    <sheet name="NF" sheetId="3" r:id="rId1"/>
    <sheet name="NV" sheetId="4" r:id="rId2"/>
    <sheet name="NM" sheetId="5" r:id="rId3"/>
    <sheet name="NU" sheetId="6" r:id="rId4"/>
  </sheets>
  <definedNames>
    <definedName name="_xlnm._FilterDatabase" localSheetId="2" hidden="1">NM!$A$1:$D$31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6" l="1"/>
  <c r="D4" i="6"/>
  <c r="D3" i="6"/>
  <c r="D25" i="6"/>
  <c r="D16" i="6"/>
  <c r="D23" i="6"/>
  <c r="D26" i="6"/>
  <c r="D8" i="6"/>
  <c r="D28" i="6"/>
  <c r="D2" i="6"/>
  <c r="D30" i="6"/>
  <c r="D29" i="6"/>
  <c r="D7" i="6"/>
  <c r="D11" i="6"/>
  <c r="D9" i="6"/>
  <c r="D31" i="6"/>
  <c r="D21" i="6"/>
  <c r="D6" i="6"/>
  <c r="D15" i="6"/>
  <c r="D17" i="6"/>
  <c r="D19" i="6"/>
  <c r="D18" i="6"/>
  <c r="D20" i="6"/>
  <c r="D24" i="6"/>
  <c r="D12" i="6"/>
  <c r="D14" i="6"/>
  <c r="D27" i="6"/>
  <c r="D13" i="6"/>
  <c r="D22" i="6"/>
  <c r="D5" i="6"/>
  <c r="D2" i="5"/>
  <c r="D18" i="5"/>
  <c r="D5" i="5"/>
  <c r="D12" i="5"/>
  <c r="D19" i="5"/>
  <c r="D28" i="5"/>
  <c r="D15" i="5"/>
  <c r="D21" i="5"/>
  <c r="D8" i="5"/>
  <c r="D14" i="5"/>
  <c r="D10" i="5"/>
  <c r="D13" i="5"/>
  <c r="D27" i="5"/>
  <c r="D26" i="5"/>
  <c r="D30" i="5"/>
  <c r="D3" i="5"/>
  <c r="D31" i="5"/>
  <c r="D24" i="5"/>
  <c r="D7" i="5"/>
  <c r="D4" i="5"/>
  <c r="D9" i="5"/>
  <c r="D25" i="5"/>
  <c r="D22" i="5"/>
  <c r="D11" i="5"/>
  <c r="D29" i="5"/>
  <c r="D23" i="5"/>
  <c r="D16" i="5"/>
  <c r="D20" i="5"/>
  <c r="D17" i="5"/>
  <c r="D6" i="5"/>
  <c r="D26" i="4"/>
  <c r="D15" i="4"/>
  <c r="D2" i="4"/>
  <c r="D16" i="4"/>
  <c r="D14" i="4"/>
  <c r="D17" i="4"/>
  <c r="D22" i="4"/>
  <c r="D18" i="4"/>
  <c r="D31" i="4"/>
  <c r="D20" i="4"/>
  <c r="D12" i="4"/>
  <c r="D8" i="4"/>
  <c r="D9" i="4"/>
  <c r="D10" i="4"/>
  <c r="D30" i="4"/>
  <c r="D24" i="4"/>
  <c r="D27" i="4"/>
  <c r="D7" i="4"/>
  <c r="D21" i="4"/>
  <c r="D6" i="4"/>
  <c r="D29" i="4"/>
  <c r="D28" i="4"/>
  <c r="D13" i="4"/>
  <c r="D3" i="4"/>
  <c r="D4" i="4"/>
  <c r="D11" i="4"/>
  <c r="D25" i="4"/>
  <c r="D19" i="4"/>
  <c r="D5" i="4"/>
  <c r="D23" i="4"/>
  <c r="D9" i="3"/>
  <c r="D2" i="3"/>
  <c r="D6" i="3"/>
  <c r="D8" i="3"/>
  <c r="D5" i="3"/>
  <c r="D11" i="3"/>
  <c r="D16" i="3"/>
  <c r="D23" i="3"/>
  <c r="D26" i="3"/>
  <c r="D19" i="3"/>
  <c r="D4" i="3"/>
  <c r="D12" i="3"/>
  <c r="D13" i="3"/>
  <c r="D18" i="3"/>
  <c r="D7" i="3"/>
  <c r="D10" i="3"/>
  <c r="D15" i="3"/>
  <c r="D14" i="3"/>
  <c r="D22" i="3"/>
  <c r="D24" i="3"/>
  <c r="D25" i="3"/>
  <c r="D29" i="3"/>
  <c r="D21" i="3"/>
  <c r="D17" i="3"/>
  <c r="D28" i="3"/>
  <c r="D27" i="3"/>
  <c r="D30" i="3"/>
  <c r="D31" i="3"/>
  <c r="D20" i="3"/>
  <c r="D3" i="3"/>
</calcChain>
</file>

<file path=xl/sharedStrings.xml><?xml version="1.0" encoding="utf-8"?>
<sst xmlns="http://schemas.openxmlformats.org/spreadsheetml/2006/main" count="136" uniqueCount="55">
  <si>
    <t>rowID_3771_149.059761825389_28.247086</t>
  </si>
  <si>
    <t>rowID_1061_203.149625250082_2.5281076</t>
  </si>
  <si>
    <t>rowID_1952_123.05512125313_4.3079076</t>
  </si>
  <si>
    <t>rowID_2111_190.070922499844_5.0468407</t>
  </si>
  <si>
    <t>rowID_2975_205.097009353518_19.358385</t>
  </si>
  <si>
    <t>rowID_3569_199.060081812833_26.441319</t>
  </si>
  <si>
    <t>rowID_2017_169.035593825139_4.617125</t>
  </si>
  <si>
    <t>rowID_4354_373.128024014563_31.766108</t>
  </si>
  <si>
    <t>rowID_8035_280.263452017219_67.154526</t>
  </si>
  <si>
    <t>rowID_2168_179.070107192684_5.558697</t>
  </si>
  <si>
    <t>rowID_3227_167.070274155514_22.839333</t>
  </si>
  <si>
    <t>rowID_5288_293.081280185134_38.279865</t>
  </si>
  <si>
    <t>rowID_727_161.091614050616_2.380487</t>
  </si>
  <si>
    <t>rowID_4836_179.070305226346_35.157116</t>
  </si>
  <si>
    <t>rowID_5085_225.075640795986_36.988037</t>
  </si>
  <si>
    <t>rowID_3934_179.070281384055_29.251377</t>
  </si>
  <si>
    <t>rowID_4167_565.155548155674_30.760048</t>
  </si>
  <si>
    <t>rowID_4427_565.155224209144_32.19419</t>
  </si>
  <si>
    <t>rowID_4745_565.155429292423_34.372307</t>
  </si>
  <si>
    <t>rowID_3843_111.043792425787_28.487804</t>
  </si>
  <si>
    <t>rowID_4764_535.144719832659_34.68633</t>
  </si>
  <si>
    <t>rowID_1919_348.070232352639_4.1908402</t>
  </si>
  <si>
    <t>rowID_2694_155.033898583555_16.228622</t>
  </si>
  <si>
    <t>rowID_429_189.159277514381_2.2714453</t>
  </si>
  <si>
    <t>rowID_4075_206.081067028663_30.181347</t>
  </si>
  <si>
    <t>rowID_3646_177.054776047602_27.180197</t>
  </si>
  <si>
    <t>rowID_8060_282.27899866041_68.790344</t>
  </si>
  <si>
    <t>rowID_4825_207.065075606185_35.043118</t>
  </si>
  <si>
    <t>rowID_3524_133.064722112482_26.153393</t>
  </si>
  <si>
    <t>Metabolite</t>
  </si>
  <si>
    <t>NF_pls_reg</t>
  </si>
  <si>
    <t>NV_pls_reg</t>
  </si>
  <si>
    <t>NM_pls_reg</t>
  </si>
  <si>
    <t>NU_pls_reg</t>
  </si>
  <si>
    <t>NF_sp_cor</t>
  </si>
  <si>
    <t>NV_sp_cor</t>
  </si>
  <si>
    <t>NM_sp_cor</t>
  </si>
  <si>
    <t>NU_sp_cor</t>
  </si>
  <si>
    <t>sum</t>
  </si>
  <si>
    <t>rowID_813_116.070122170766_2.423166</t>
  </si>
  <si>
    <t>Oxalic.acid</t>
  </si>
  <si>
    <t>Ethanolamine</t>
  </si>
  <si>
    <t>rowID_5602_315.0861325668_40.609165</t>
  </si>
  <si>
    <t>rowID_3551_565.155641126841_26.255157</t>
  </si>
  <si>
    <t>rowID_2065_170.081073223657_4.8408237</t>
  </si>
  <si>
    <t>rowID_1415_118.0857425573_2.782043</t>
  </si>
  <si>
    <t>rowID_3681_174.112470476393_27.527838</t>
  </si>
  <si>
    <t>rowID_2230_136.075515028471_5.980424</t>
  </si>
  <si>
    <t>rowID_2226_123.043800660366_5.97724</t>
  </si>
  <si>
    <t>rowID_4765_433.112827467893_34.578762</t>
  </si>
  <si>
    <t>rowID_4219_247.107677121112_31.02685</t>
  </si>
  <si>
    <t>rowID_4846_209.080768038595_35.217125</t>
  </si>
  <si>
    <t>rowID_3842_595.167108959486_28.489803</t>
  </si>
  <si>
    <t>rowID_3498_181.049540129214_25.815975</t>
  </si>
  <si>
    <t>rowID_2613_135.030041955392_15.444866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</si>
</sst>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</cellXfs>
  <cellStyles count="4">
    <cellStyle name="Hyperlink 2" xfId="3" xr:uid="{97B24EDF-03FD-4390-B221-E1F1E4BA5708}"/>
    <cellStyle name="Normal" xfId="0" builtinId="0"/>
    <cellStyle name="Normal 2" xfId="2" xr:uid="{EDC5041F-7BAF-432A-97BF-51E292A6FF10}"/>
    <cellStyle name="Normal 3" xfId="1" xr:uid="{FD53DD6C-B78B-4391-8117-6882093D2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9D5-9A01-4205-8339-A396399BC4AF}">
  <dimension ref="A1:D31"/>
  <sheetViews>
    <sheetView tabSelected="1" workbookViewId="0">
      <selection activeCell="I10" sqref="I10"/>
    </sheetView>
  </sheetViews>
  <sheetFormatPr defaultRowHeight="15" x14ac:dyDescent="0.25"/>
  <sheetData>
    <row r="1" spans="1:4" x14ac:dyDescent="0.25">
      <c r="A1" s="1" t="s">
        <v>29</v>
      </c>
      <c r="B1" s="6" t="s">
        <v>30</v>
      </c>
      <c r="C1" s="7" t="s">
        <v>34</v>
      </c>
      <c r="D1" s="9" t="s">
        <v>38</v>
      </c>
    </row>
    <row r="2" spans="1:4" x14ac:dyDescent="0.25">
      <c r="A2" s="10" t="s">
        <v>2</v>
      </c>
      <c r="B2" s="3">
        <v>0.63111335268430702</v>
      </c>
      <c r="C2" s="2">
        <v>0.48287017703213098</v>
      </c>
      <c r="D2" s="4">
        <f>SUM(B2+C2)</f>
        <v>1.113983529716438</v>
      </c>
    </row>
    <row r="3" spans="1:4" x14ac:dyDescent="0.25">
      <c r="A3" s="10" t="s">
        <v>0</v>
      </c>
      <c r="B3" s="3">
        <v>0.56186845483445802</v>
      </c>
      <c r="C3" s="2">
        <v>0.54014807726367797</v>
      </c>
      <c r="D3" s="4">
        <f>SUM(B3+C3)</f>
        <v>1.1020165320981361</v>
      </c>
    </row>
    <row r="4" spans="1:4" x14ac:dyDescent="0.25">
      <c r="A4" s="10" t="s">
        <v>12</v>
      </c>
      <c r="B4" s="3">
        <v>0.49605895589349203</v>
      </c>
      <c r="C4" s="2">
        <v>0.54785059901338995</v>
      </c>
      <c r="D4" s="4">
        <f>SUM(B4+C4)</f>
        <v>1.043909554906882</v>
      </c>
    </row>
    <row r="5" spans="1:4" x14ac:dyDescent="0.25">
      <c r="A5" s="10" t="s">
        <v>6</v>
      </c>
      <c r="B5" s="3">
        <v>0.53894165355687396</v>
      </c>
      <c r="C5" s="2">
        <v>0.49338787411714902</v>
      </c>
      <c r="D5" s="4">
        <f>SUM(B5+C5)</f>
        <v>1.032329527674023</v>
      </c>
    </row>
    <row r="6" spans="1:4" x14ac:dyDescent="0.25">
      <c r="A6" s="10" t="s">
        <v>3</v>
      </c>
      <c r="B6" s="3">
        <v>0.52045347208494497</v>
      </c>
      <c r="C6" s="2">
        <v>0.50704393508954204</v>
      </c>
      <c r="D6" s="4">
        <f>SUM(B6+C6)</f>
        <v>1.0274974071744869</v>
      </c>
    </row>
    <row r="7" spans="1:4" x14ac:dyDescent="0.25">
      <c r="A7" s="10" t="s">
        <v>16</v>
      </c>
      <c r="B7" s="3">
        <v>0.48879438537888598</v>
      </c>
      <c r="C7" s="2">
        <v>0.52461327070167996</v>
      </c>
      <c r="D7" s="4">
        <f>SUM(B7+C7)</f>
        <v>1.0134076560805658</v>
      </c>
    </row>
    <row r="8" spans="1:4" x14ac:dyDescent="0.25">
      <c r="A8" s="10" t="s">
        <v>5</v>
      </c>
      <c r="B8" s="3">
        <v>0.50366114328670197</v>
      </c>
      <c r="C8" s="2">
        <v>0.48542195064460603</v>
      </c>
      <c r="D8" s="4">
        <f>SUM(B8+C8)</f>
        <v>0.989083093931308</v>
      </c>
    </row>
    <row r="9" spans="1:4" x14ac:dyDescent="0.25">
      <c r="A9" s="10" t="s">
        <v>1</v>
      </c>
      <c r="B9" s="3">
        <v>0.48043284982380402</v>
      </c>
      <c r="C9" s="2">
        <v>0.49668780831571502</v>
      </c>
      <c r="D9" s="4">
        <f>SUM(B9+C9)</f>
        <v>0.97712065813951909</v>
      </c>
    </row>
    <row r="10" spans="1:4" x14ac:dyDescent="0.25">
      <c r="A10" s="10" t="s">
        <v>17</v>
      </c>
      <c r="B10" s="3">
        <v>0.46583986625992602</v>
      </c>
      <c r="C10" s="2">
        <v>0.486821705426357</v>
      </c>
      <c r="D10" s="4">
        <f>SUM(B10+C10)</f>
        <v>0.95266157168628296</v>
      </c>
    </row>
    <row r="11" spans="1:4" x14ac:dyDescent="0.25">
      <c r="A11" s="10" t="s">
        <v>7</v>
      </c>
      <c r="B11" s="3">
        <v>0.490575313191637</v>
      </c>
      <c r="C11" s="2">
        <v>0.45561208585686602</v>
      </c>
      <c r="D11" s="4">
        <f>SUM(B11+C11)</f>
        <v>0.94618739904850302</v>
      </c>
    </row>
    <row r="12" spans="1:4" x14ac:dyDescent="0.25">
      <c r="A12" s="10" t="s">
        <v>13</v>
      </c>
      <c r="B12" s="3">
        <v>0.47080021553190698</v>
      </c>
      <c r="C12" s="2">
        <v>0.44150634500369301</v>
      </c>
      <c r="D12" s="4">
        <f>SUM(B12+C12)</f>
        <v>0.9123065605356</v>
      </c>
    </row>
    <row r="13" spans="1:4" x14ac:dyDescent="0.25">
      <c r="A13" s="10" t="s">
        <v>14</v>
      </c>
      <c r="B13" s="3">
        <v>0.4542964776301</v>
      </c>
      <c r="C13" s="2">
        <v>0.456431692722153</v>
      </c>
      <c r="D13" s="4">
        <f>SUM(B13+C13)</f>
        <v>0.91072817035225295</v>
      </c>
    </row>
    <row r="14" spans="1:4" x14ac:dyDescent="0.25">
      <c r="A14" s="10" t="s">
        <v>20</v>
      </c>
      <c r="B14" s="3">
        <v>0.46237077938166898</v>
      </c>
      <c r="C14" s="2">
        <v>0.44762707842566901</v>
      </c>
      <c r="D14" s="4">
        <f>SUM(B14+C14)</f>
        <v>0.909997857807338</v>
      </c>
    </row>
    <row r="15" spans="1:4" x14ac:dyDescent="0.25">
      <c r="A15" s="10" t="s">
        <v>18</v>
      </c>
      <c r="B15" s="3">
        <v>0.465294258886294</v>
      </c>
      <c r="C15" s="2">
        <v>0.41999054160829402</v>
      </c>
      <c r="D15" s="4">
        <f>SUM(B15+C15)</f>
        <v>0.88528480049458802</v>
      </c>
    </row>
    <row r="16" spans="1:4" x14ac:dyDescent="0.25">
      <c r="A16" s="10" t="s">
        <v>8</v>
      </c>
      <c r="B16" s="3">
        <v>0.42579640266336599</v>
      </c>
      <c r="C16" s="2">
        <v>0.448689042853467</v>
      </c>
      <c r="D16" s="4">
        <f>SUM(B16+C16)</f>
        <v>0.87448544551683294</v>
      </c>
    </row>
    <row r="17" spans="1:4" x14ac:dyDescent="0.25">
      <c r="A17" s="10" t="s">
        <v>27</v>
      </c>
      <c r="B17" s="3">
        <v>0.46071592449302301</v>
      </c>
      <c r="C17" s="2">
        <v>0.39844961240310101</v>
      </c>
      <c r="D17" s="4">
        <f>SUM(B17+C17)</f>
        <v>0.85916553689612396</v>
      </c>
    </row>
    <row r="18" spans="1:4" x14ac:dyDescent="0.25">
      <c r="A18" s="10" t="s">
        <v>15</v>
      </c>
      <c r="B18" s="3">
        <v>0.4212704635183</v>
      </c>
      <c r="C18" s="2">
        <v>0.43437990669877802</v>
      </c>
      <c r="D18" s="4">
        <f>SUM(B18+C18)</f>
        <v>0.85565037021707802</v>
      </c>
    </row>
    <row r="19" spans="1:4" x14ac:dyDescent="0.25">
      <c r="A19" s="10" t="s">
        <v>11</v>
      </c>
      <c r="B19" s="3">
        <v>0.43424203159978397</v>
      </c>
      <c r="C19" s="2">
        <v>0.40246335450120402</v>
      </c>
      <c r="D19" s="4">
        <f>SUM(B19+C19)</f>
        <v>0.83670538610098799</v>
      </c>
    </row>
    <row r="20" spans="1:4" x14ac:dyDescent="0.25">
      <c r="A20" s="10" t="s">
        <v>52</v>
      </c>
      <c r="B20" s="3">
        <v>0.42652339926978999</v>
      </c>
      <c r="C20" s="2">
        <v>0.40084116849141999</v>
      </c>
      <c r="D20" s="4">
        <f>SUM(B20+C20)</f>
        <v>0.82736456776121003</v>
      </c>
    </row>
    <row r="21" spans="1:4" x14ac:dyDescent="0.25">
      <c r="A21" s="10" t="s">
        <v>40</v>
      </c>
      <c r="B21" s="3">
        <v>0.44782439033666799</v>
      </c>
      <c r="C21" s="2">
        <v>0.37</v>
      </c>
      <c r="D21" s="4">
        <f>SUM(B21+C21)</f>
        <v>0.81782439033666798</v>
      </c>
    </row>
    <row r="22" spans="1:4" x14ac:dyDescent="0.25">
      <c r="A22" s="10" t="s">
        <v>21</v>
      </c>
      <c r="B22" s="3">
        <v>0.45832603316987702</v>
      </c>
      <c r="C22" s="2">
        <v>0.35688266183327499</v>
      </c>
      <c r="D22" s="4">
        <f>SUM(B22+C22)</f>
        <v>0.81520869500315207</v>
      </c>
    </row>
    <row r="23" spans="1:4" x14ac:dyDescent="0.25">
      <c r="A23" s="10" t="s">
        <v>9</v>
      </c>
      <c r="B23" s="3">
        <v>0.38068470766055701</v>
      </c>
      <c r="C23" s="2">
        <v>0.41138116708128297</v>
      </c>
      <c r="D23" s="4">
        <f>SUM(B23+C23)</f>
        <v>0.79206587474183998</v>
      </c>
    </row>
    <row r="24" spans="1:4" x14ac:dyDescent="0.25">
      <c r="A24" s="10" t="s">
        <v>24</v>
      </c>
      <c r="B24" s="3">
        <v>0.41483275980872902</v>
      </c>
      <c r="C24" s="2">
        <v>0.37390700412066802</v>
      </c>
      <c r="D24" s="4">
        <f>SUM(B24+C24)</f>
        <v>0.78873976392939704</v>
      </c>
    </row>
    <row r="25" spans="1:4" x14ac:dyDescent="0.25">
      <c r="A25" s="10" t="s">
        <v>25</v>
      </c>
      <c r="B25" s="3">
        <v>0.41229795425728399</v>
      </c>
      <c r="C25" s="2">
        <v>0.37098150619628401</v>
      </c>
      <c r="D25" s="4">
        <f>SUM(B25+C25)</f>
        <v>0.783279460453568</v>
      </c>
    </row>
    <row r="26" spans="1:4" x14ac:dyDescent="0.25">
      <c r="A26" s="10" t="s">
        <v>10</v>
      </c>
      <c r="B26" s="3">
        <v>0.45161866382083998</v>
      </c>
      <c r="C26" s="2">
        <v>0.30191354992910102</v>
      </c>
      <c r="D26" s="4">
        <f>SUM(B26+C26)</f>
        <v>0.75353221374994095</v>
      </c>
    </row>
    <row r="27" spans="1:4" x14ac:dyDescent="0.25">
      <c r="A27" s="10" t="s">
        <v>28</v>
      </c>
      <c r="B27" s="3">
        <v>0.398512025855078</v>
      </c>
      <c r="C27" s="2">
        <v>0.34825697367769998</v>
      </c>
      <c r="D27" s="4">
        <f>SUM(B27+C27)</f>
        <v>0.74676899953277798</v>
      </c>
    </row>
    <row r="28" spans="1:4" x14ac:dyDescent="0.25">
      <c r="A28" s="10" t="s">
        <v>41</v>
      </c>
      <c r="B28" s="3">
        <v>0.35557631622499902</v>
      </c>
      <c r="C28" s="2">
        <v>0.38</v>
      </c>
      <c r="D28" s="4">
        <f>SUM(B28+C28)</f>
        <v>0.73557631622499908</v>
      </c>
    </row>
    <row r="29" spans="1:4" x14ac:dyDescent="0.25">
      <c r="A29" s="10" t="s">
        <v>26</v>
      </c>
      <c r="B29" s="3">
        <v>0.37465067811725999</v>
      </c>
      <c r="C29" s="2">
        <v>0.34291754756871001</v>
      </c>
      <c r="D29" s="4">
        <f>SUM(B29+C29)</f>
        <v>0.71756822568597001</v>
      </c>
    </row>
    <row r="30" spans="1:4" x14ac:dyDescent="0.25">
      <c r="A30" s="10" t="s">
        <v>43</v>
      </c>
      <c r="B30" s="3">
        <v>0.35932887388760298</v>
      </c>
      <c r="C30" s="2">
        <v>0.339710522827533</v>
      </c>
      <c r="D30" s="4">
        <f>SUM(B30+C30)</f>
        <v>0.69903939671513604</v>
      </c>
    </row>
    <row r="31" spans="1:4" x14ac:dyDescent="0.25">
      <c r="A31" s="10" t="s">
        <v>51</v>
      </c>
      <c r="B31" s="3">
        <v>0.31889420510684702</v>
      </c>
      <c r="C31" s="2">
        <v>0.360523620000756</v>
      </c>
      <c r="D31" s="4">
        <f>SUM(B31+C31)</f>
        <v>0.67941782510760307</v>
      </c>
    </row>
  </sheetData>
  <sortState xmlns:xlrd2="http://schemas.microsoft.com/office/spreadsheetml/2017/richdata2" ref="A2:D31">
    <sortCondition descending="1" ref="D2:D31"/>
  </sortState>
  <conditionalFormatting sqref="B2:C31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2842-0514-4960-8546-2940FED97ABE}">
  <dimension ref="A1:D31"/>
  <sheetViews>
    <sheetView workbookViewId="0"/>
  </sheetViews>
  <sheetFormatPr defaultRowHeight="15" x14ac:dyDescent="0.25"/>
  <sheetData>
    <row r="1" spans="1:4" x14ac:dyDescent="0.25">
      <c r="A1" s="1" t="s">
        <v>29</v>
      </c>
      <c r="B1" s="7" t="s">
        <v>31</v>
      </c>
      <c r="C1" s="7" t="s">
        <v>35</v>
      </c>
      <c r="D1" s="9" t="s">
        <v>38</v>
      </c>
    </row>
    <row r="2" spans="1:4" x14ac:dyDescent="0.25">
      <c r="A2" s="10" t="s">
        <v>4</v>
      </c>
      <c r="B2" s="2">
        <v>0.44395324047207502</v>
      </c>
      <c r="C2" s="2">
        <v>0.484284707540522</v>
      </c>
      <c r="D2" s="4">
        <f>SUM(B2:C2)</f>
        <v>0.92823794801259707</v>
      </c>
    </row>
    <row r="3" spans="1:4" x14ac:dyDescent="0.25">
      <c r="A3" s="10" t="s">
        <v>47</v>
      </c>
      <c r="B3" s="2">
        <v>0.35232181256149903</v>
      </c>
      <c r="C3" s="2">
        <v>0.42248857048306199</v>
      </c>
      <c r="D3" s="4">
        <f>SUM(B3:C3)</f>
        <v>0.77481038304456096</v>
      </c>
    </row>
    <row r="4" spans="1:4" x14ac:dyDescent="0.25">
      <c r="A4" s="10" t="s">
        <v>48</v>
      </c>
      <c r="B4" s="2">
        <v>0.344743084554896</v>
      </c>
      <c r="C4" s="2">
        <v>0.41434906574436098</v>
      </c>
      <c r="D4" s="4">
        <f>SUM(B4:C4)</f>
        <v>0.75909215029925692</v>
      </c>
    </row>
    <row r="5" spans="1:4" x14ac:dyDescent="0.25">
      <c r="A5" s="10" t="s">
        <v>54</v>
      </c>
      <c r="B5" s="2">
        <v>0.38196222178664901</v>
      </c>
      <c r="C5" s="2">
        <v>0.37338959781976599</v>
      </c>
      <c r="D5" s="4">
        <f>SUM(B5:C5)</f>
        <v>0.75535181960641506</v>
      </c>
    </row>
    <row r="6" spans="1:4" x14ac:dyDescent="0.25">
      <c r="A6" s="10" t="s">
        <v>42</v>
      </c>
      <c r="B6" s="2">
        <v>0.42276976246648301</v>
      </c>
      <c r="C6" s="2">
        <v>0.31597152022871999</v>
      </c>
      <c r="D6" s="4">
        <f>SUM(B6:C6)</f>
        <v>0.73874128269520301</v>
      </c>
    </row>
    <row r="7" spans="1:4" x14ac:dyDescent="0.25">
      <c r="A7" s="10" t="s">
        <v>41</v>
      </c>
      <c r="B7" s="2">
        <v>0.283344168744179</v>
      </c>
      <c r="C7" s="2">
        <v>0.36</v>
      </c>
      <c r="D7" s="4">
        <f>SUM(B7:C7)</f>
        <v>0.64334416874417899</v>
      </c>
    </row>
    <row r="8" spans="1:4" x14ac:dyDescent="0.25">
      <c r="A8" s="10" t="s">
        <v>15</v>
      </c>
      <c r="B8" s="2">
        <v>0.27123327777316403</v>
      </c>
      <c r="C8" s="2">
        <v>0.33318913297917602</v>
      </c>
      <c r="D8" s="4">
        <f>SUM(B8:C8)</f>
        <v>0.60442241075234004</v>
      </c>
    </row>
    <row r="9" spans="1:4" x14ac:dyDescent="0.25">
      <c r="A9" s="10" t="s">
        <v>39</v>
      </c>
      <c r="B9" s="2">
        <v>0.27197721439737499</v>
      </c>
      <c r="C9" s="2">
        <v>0.264552501761804</v>
      </c>
      <c r="D9" s="4">
        <f>SUM(B9:C9)</f>
        <v>0.53652971615917899</v>
      </c>
    </row>
    <row r="10" spans="1:4" x14ac:dyDescent="0.25">
      <c r="A10" s="10" t="s">
        <v>22</v>
      </c>
      <c r="B10" s="2">
        <v>0.30158975615705103</v>
      </c>
      <c r="C10" s="2">
        <v>0.21414395801396599</v>
      </c>
      <c r="D10" s="4">
        <f>SUM(B10:C10)</f>
        <v>0.51573371417101699</v>
      </c>
    </row>
    <row r="11" spans="1:4" x14ac:dyDescent="0.25">
      <c r="A11" s="10" t="s">
        <v>49</v>
      </c>
      <c r="B11" s="2">
        <v>0.29112444955372602</v>
      </c>
      <c r="C11" s="2">
        <v>0.221400888984329</v>
      </c>
      <c r="D11" s="4">
        <f>SUM(B11:C11)</f>
        <v>0.51252533853805504</v>
      </c>
    </row>
    <row r="12" spans="1:4" x14ac:dyDescent="0.25">
      <c r="A12" s="10" t="s">
        <v>14</v>
      </c>
      <c r="B12" s="2">
        <v>0.34489949614910598</v>
      </c>
      <c r="C12" s="2">
        <v>0.16310752057053499</v>
      </c>
      <c r="D12" s="4">
        <f>SUM(B12:C12)</f>
        <v>0.50800701671964099</v>
      </c>
    </row>
    <row r="13" spans="1:4" x14ac:dyDescent="0.25">
      <c r="A13" s="10" t="s">
        <v>45</v>
      </c>
      <c r="B13" s="2">
        <v>0.21926553977082</v>
      </c>
      <c r="C13" s="2">
        <v>0.27371388301620903</v>
      </c>
      <c r="D13" s="4">
        <f>SUM(B13:C13)</f>
        <v>0.492979422787029</v>
      </c>
    </row>
    <row r="14" spans="1:4" x14ac:dyDescent="0.25">
      <c r="A14" s="10" t="s">
        <v>6</v>
      </c>
      <c r="B14" s="2">
        <v>0.24560464536378199</v>
      </c>
      <c r="C14" s="2">
        <v>0.19261744162833</v>
      </c>
      <c r="D14" s="4">
        <f>SUM(B14:C14)</f>
        <v>0.43822208699211196</v>
      </c>
    </row>
    <row r="15" spans="1:4" x14ac:dyDescent="0.25">
      <c r="A15" s="10" t="s">
        <v>2</v>
      </c>
      <c r="B15" s="2">
        <v>0.24668746695391999</v>
      </c>
      <c r="C15" s="2">
        <v>0.189750848280516</v>
      </c>
      <c r="D15" s="4">
        <f>SUM(B15:C15)</f>
        <v>0.43643831523443599</v>
      </c>
    </row>
    <row r="16" spans="1:4" x14ac:dyDescent="0.25">
      <c r="A16" s="10" t="s">
        <v>5</v>
      </c>
      <c r="B16" s="2">
        <v>0.25223485918718902</v>
      </c>
      <c r="C16" s="2">
        <v>0.17124480855289501</v>
      </c>
      <c r="D16" s="4">
        <f>SUM(B16:C16)</f>
        <v>0.42347966774008405</v>
      </c>
    </row>
    <row r="17" spans="1:4" x14ac:dyDescent="0.25">
      <c r="A17" s="10" t="s">
        <v>7</v>
      </c>
      <c r="B17" s="2">
        <v>0.285467872964005</v>
      </c>
      <c r="C17" s="2">
        <v>9.8324027560723698E-2</v>
      </c>
      <c r="D17" s="4">
        <f>SUM(B17:C17)</f>
        <v>0.38379190052472867</v>
      </c>
    </row>
    <row r="18" spans="1:4" x14ac:dyDescent="0.25">
      <c r="A18" s="10" t="s">
        <v>9</v>
      </c>
      <c r="B18" s="2">
        <v>0.27819848214320603</v>
      </c>
      <c r="C18" s="2">
        <v>0.102408395883446</v>
      </c>
      <c r="D18" s="4">
        <f>SUM(B18:C18)</f>
        <v>0.38060687802665205</v>
      </c>
    </row>
    <row r="19" spans="1:4" x14ac:dyDescent="0.25">
      <c r="A19" s="10" t="s">
        <v>53</v>
      </c>
      <c r="B19" s="2">
        <v>0.27012734184162401</v>
      </c>
      <c r="C19" s="2">
        <v>0.107578755293537</v>
      </c>
      <c r="D19" s="4">
        <f>SUM(B19:C19)</f>
        <v>0.37770609713516101</v>
      </c>
    </row>
    <row r="20" spans="1:4" x14ac:dyDescent="0.25">
      <c r="A20" s="10" t="s">
        <v>13</v>
      </c>
      <c r="B20" s="2">
        <v>0.30148188051493302</v>
      </c>
      <c r="C20" s="2">
        <v>6.8775802948296896E-2</v>
      </c>
      <c r="D20" s="4">
        <f>SUM(B20:C20)</f>
        <v>0.3702576834632299</v>
      </c>
    </row>
    <row r="21" spans="1:4" x14ac:dyDescent="0.25">
      <c r="A21" s="10" t="s">
        <v>28</v>
      </c>
      <c r="B21" s="2">
        <v>0.20252879633068399</v>
      </c>
      <c r="C21" s="2">
        <v>0.16235929161344601</v>
      </c>
      <c r="D21" s="4">
        <f>SUM(B21:C21)</f>
        <v>0.36488808794412997</v>
      </c>
    </row>
    <row r="22" spans="1:4" x14ac:dyDescent="0.25">
      <c r="A22" s="10" t="s">
        <v>8</v>
      </c>
      <c r="B22" s="2">
        <v>0.14861898908339799</v>
      </c>
      <c r="C22" s="2">
        <v>0.20421103873459101</v>
      </c>
      <c r="D22" s="4">
        <f>SUM(B22:C22)</f>
        <v>0.352830027817989</v>
      </c>
    </row>
    <row r="23" spans="1:4" x14ac:dyDescent="0.25">
      <c r="A23" s="10" t="s">
        <v>0</v>
      </c>
      <c r="B23" s="2">
        <v>0.20010337062665001</v>
      </c>
      <c r="C23" s="2">
        <v>0.143320417786095</v>
      </c>
      <c r="D23" s="4">
        <f>SUM(B23:C23)</f>
        <v>0.34342378841274501</v>
      </c>
    </row>
    <row r="24" spans="1:4" x14ac:dyDescent="0.25">
      <c r="A24" s="10" t="s">
        <v>40</v>
      </c>
      <c r="B24" s="2">
        <v>0.206233095721786</v>
      </c>
      <c r="C24" s="2">
        <v>0.13</v>
      </c>
      <c r="D24" s="4">
        <f>SUM(B24:C24)</f>
        <v>0.336233095721786</v>
      </c>
    </row>
    <row r="25" spans="1:4" x14ac:dyDescent="0.25">
      <c r="A25" s="10" t="s">
        <v>51</v>
      </c>
      <c r="B25" s="2">
        <v>0.27611953761980002</v>
      </c>
      <c r="C25" s="2">
        <v>5.4227402536488098E-2</v>
      </c>
      <c r="D25" s="4">
        <f>SUM(B25:C25)</f>
        <v>0.33034694015628813</v>
      </c>
    </row>
    <row r="26" spans="1:4" x14ac:dyDescent="0.25">
      <c r="A26" s="10" t="s">
        <v>1</v>
      </c>
      <c r="B26" s="2">
        <v>0.16228514975678501</v>
      </c>
      <c r="C26" s="2">
        <v>0.15884425651867501</v>
      </c>
      <c r="D26" s="4">
        <f>SUM(B26:C26)</f>
        <v>0.32112940627546005</v>
      </c>
    </row>
    <row r="27" spans="1:4" x14ac:dyDescent="0.25">
      <c r="A27" s="10" t="s">
        <v>27</v>
      </c>
      <c r="B27" s="2">
        <v>0.26782502490339899</v>
      </c>
      <c r="C27" s="2">
        <v>2.4665257223396801E-2</v>
      </c>
      <c r="D27" s="4">
        <f>SUM(B27:C27)</f>
        <v>0.29249028212679579</v>
      </c>
    </row>
    <row r="28" spans="1:4" x14ac:dyDescent="0.25">
      <c r="A28" s="10" t="s">
        <v>44</v>
      </c>
      <c r="B28" s="2">
        <v>0.20071797545526199</v>
      </c>
      <c r="C28" s="2">
        <v>8.0761099365750502E-2</v>
      </c>
      <c r="D28" s="4">
        <f>SUM(B28:C28)</f>
        <v>0.28147907482101248</v>
      </c>
    </row>
    <row r="29" spans="1:4" x14ac:dyDescent="0.25">
      <c r="A29" s="10" t="s">
        <v>43</v>
      </c>
      <c r="B29" s="2">
        <v>0.20939776923152101</v>
      </c>
      <c r="C29" s="2">
        <v>6.7918480746116699E-2</v>
      </c>
      <c r="D29" s="4">
        <f>SUM(B29:C29)</f>
        <v>0.27731624997763771</v>
      </c>
    </row>
    <row r="30" spans="1:4" x14ac:dyDescent="0.25">
      <c r="A30" s="10" t="s">
        <v>25</v>
      </c>
      <c r="B30" s="2">
        <v>0.21345927571156501</v>
      </c>
      <c r="C30" s="2">
        <v>6.3327351541980603E-2</v>
      </c>
      <c r="D30" s="4">
        <f>SUM(B30:C30)</f>
        <v>0.27678662725354564</v>
      </c>
    </row>
    <row r="31" spans="1:4" x14ac:dyDescent="0.25">
      <c r="A31" s="10" t="s">
        <v>11</v>
      </c>
      <c r="B31" s="2">
        <v>0.27221458650437902</v>
      </c>
      <c r="C31" s="2">
        <v>-5.32761626609006E-3</v>
      </c>
      <c r="D31" s="4">
        <f>SUM(B31:C31)</f>
        <v>0.26688697023828895</v>
      </c>
    </row>
  </sheetData>
  <sortState xmlns:xlrd2="http://schemas.microsoft.com/office/spreadsheetml/2017/richdata2" ref="A2:D31">
    <sortCondition descending="1" ref="D2:D31"/>
  </sortState>
  <conditionalFormatting sqref="B2:C31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E127-86EB-4A62-B54A-D86BB558FD3C}">
  <dimension ref="A1:D31"/>
  <sheetViews>
    <sheetView workbookViewId="0">
      <selection activeCell="J15" sqref="J15"/>
    </sheetView>
  </sheetViews>
  <sheetFormatPr defaultRowHeight="15" x14ac:dyDescent="0.25"/>
  <sheetData>
    <row r="1" spans="1:4" x14ac:dyDescent="0.25">
      <c r="A1" s="1" t="s">
        <v>29</v>
      </c>
      <c r="B1" s="7" t="s">
        <v>32</v>
      </c>
      <c r="C1" s="7" t="s">
        <v>36</v>
      </c>
      <c r="D1" s="9" t="s">
        <v>38</v>
      </c>
    </row>
    <row r="2" spans="1:4" x14ac:dyDescent="0.25">
      <c r="A2" s="10" t="s">
        <v>1</v>
      </c>
      <c r="B2" s="2">
        <v>0.44359788604278799</v>
      </c>
      <c r="C2" s="2">
        <v>0.45</v>
      </c>
      <c r="D2" s="4">
        <f>SUM(B2:C2)</f>
        <v>0.893597886042788</v>
      </c>
    </row>
    <row r="3" spans="1:4" x14ac:dyDescent="0.25">
      <c r="A3" s="10" t="s">
        <v>19</v>
      </c>
      <c r="B3" s="2">
        <v>0.41898590069681402</v>
      </c>
      <c r="C3" s="2">
        <v>0.42</v>
      </c>
      <c r="D3" s="4">
        <f>SUM(B3:C3)</f>
        <v>0.838985900696814</v>
      </c>
    </row>
    <row r="4" spans="1:4" x14ac:dyDescent="0.25">
      <c r="A4" s="10" t="s">
        <v>23</v>
      </c>
      <c r="B4" s="2">
        <v>0.39821327290443198</v>
      </c>
      <c r="C4" s="2">
        <v>0.36</v>
      </c>
      <c r="D4" s="4">
        <f>SUM(B4:C4)</f>
        <v>0.75821327290443197</v>
      </c>
    </row>
    <row r="5" spans="1:4" x14ac:dyDescent="0.25">
      <c r="A5" s="10" t="s">
        <v>3</v>
      </c>
      <c r="B5" s="2">
        <v>0.36279874563995101</v>
      </c>
      <c r="C5" s="2">
        <v>0.37</v>
      </c>
      <c r="D5" s="4">
        <f>SUM(B5:C5)</f>
        <v>0.73279874563995095</v>
      </c>
    </row>
    <row r="6" spans="1:4" x14ac:dyDescent="0.25">
      <c r="A6" s="10" t="s">
        <v>0</v>
      </c>
      <c r="B6" s="2">
        <v>0.30596290542996402</v>
      </c>
      <c r="C6" s="2">
        <v>0.42</v>
      </c>
      <c r="D6" s="4">
        <f>SUM(B6:C6)</f>
        <v>0.725962905429964</v>
      </c>
    </row>
    <row r="7" spans="1:4" x14ac:dyDescent="0.25">
      <c r="A7" s="10" t="s">
        <v>22</v>
      </c>
      <c r="B7" s="2">
        <v>0.41250168603239101</v>
      </c>
      <c r="C7" s="2">
        <v>0.28999999999999998</v>
      </c>
      <c r="D7" s="4">
        <f>SUM(B7:C7)</f>
        <v>0.70250168603239094</v>
      </c>
    </row>
    <row r="8" spans="1:4" x14ac:dyDescent="0.25">
      <c r="A8" s="10" t="s">
        <v>9</v>
      </c>
      <c r="B8" s="2">
        <v>0.324039862142455</v>
      </c>
      <c r="C8" s="2">
        <v>0.34</v>
      </c>
      <c r="D8" s="4">
        <f>SUM(B8:C8)</f>
        <v>0.66403986214245503</v>
      </c>
    </row>
    <row r="9" spans="1:4" x14ac:dyDescent="0.25">
      <c r="A9" s="10" t="s">
        <v>24</v>
      </c>
      <c r="B9" s="2">
        <v>0.30968999775425798</v>
      </c>
      <c r="C9" s="2">
        <v>0.35</v>
      </c>
      <c r="D9" s="4">
        <f>SUM(B9:C9)</f>
        <v>0.65968999775425796</v>
      </c>
    </row>
    <row r="10" spans="1:4" x14ac:dyDescent="0.25">
      <c r="A10" s="10" t="s">
        <v>11</v>
      </c>
      <c r="B10" s="2">
        <v>0.24246207365976999</v>
      </c>
      <c r="C10" s="2">
        <v>0.41</v>
      </c>
      <c r="D10" s="4">
        <f>SUM(B10:C10)</f>
        <v>0.65246207365976994</v>
      </c>
    </row>
    <row r="11" spans="1:4" x14ac:dyDescent="0.25">
      <c r="A11" s="10" t="s">
        <v>44</v>
      </c>
      <c r="B11" s="2">
        <v>0.26493108434471802</v>
      </c>
      <c r="C11" s="2">
        <v>0.36</v>
      </c>
      <c r="D11" s="4">
        <f>SUM(B11:C11)</f>
        <v>0.624931084344718</v>
      </c>
    </row>
    <row r="12" spans="1:4" x14ac:dyDescent="0.25">
      <c r="A12" s="10" t="s">
        <v>4</v>
      </c>
      <c r="B12" s="2">
        <v>0.24924887521611799</v>
      </c>
      <c r="C12" s="2">
        <v>0.37</v>
      </c>
      <c r="D12" s="4">
        <f>SUM(B12:C12)</f>
        <v>0.61924887521611804</v>
      </c>
    </row>
    <row r="13" spans="1:4" x14ac:dyDescent="0.25">
      <c r="A13" s="10" t="s">
        <v>12</v>
      </c>
      <c r="B13" s="2">
        <v>0.244025171125239</v>
      </c>
      <c r="C13" s="2">
        <v>0.36</v>
      </c>
      <c r="D13" s="4">
        <f>SUM(B13:C13)</f>
        <v>0.60402517112523901</v>
      </c>
    </row>
    <row r="14" spans="1:4" x14ac:dyDescent="0.25">
      <c r="A14" s="10" t="s">
        <v>10</v>
      </c>
      <c r="B14" s="2">
        <v>0.25377866853873798</v>
      </c>
      <c r="C14" s="2">
        <v>0.34</v>
      </c>
      <c r="D14" s="4">
        <f>SUM(B14:C14)</f>
        <v>0.59377866853873806</v>
      </c>
    </row>
    <row r="15" spans="1:4" x14ac:dyDescent="0.25">
      <c r="A15" s="10" t="s">
        <v>7</v>
      </c>
      <c r="B15" s="2">
        <v>0.173555759346675</v>
      </c>
      <c r="C15" s="2">
        <v>0.4</v>
      </c>
      <c r="D15" s="4">
        <f>SUM(B15:C15)</f>
        <v>0.57355575934667502</v>
      </c>
    </row>
    <row r="16" spans="1:4" x14ac:dyDescent="0.25">
      <c r="A16" s="10" t="s">
        <v>50</v>
      </c>
      <c r="B16" s="2">
        <v>0.208000796887786</v>
      </c>
      <c r="C16" s="2">
        <v>0.35</v>
      </c>
      <c r="D16" s="4">
        <f>SUM(B16:C16)</f>
        <v>0.55800079688778603</v>
      </c>
    </row>
    <row r="17" spans="1:4" x14ac:dyDescent="0.25">
      <c r="A17" s="10" t="s">
        <v>53</v>
      </c>
      <c r="B17" s="2">
        <v>0.25743576375264199</v>
      </c>
      <c r="C17" s="2">
        <v>0.3</v>
      </c>
      <c r="D17" s="4">
        <f>SUM(B17:C17)</f>
        <v>0.55743576375264192</v>
      </c>
    </row>
    <row r="18" spans="1:4" x14ac:dyDescent="0.25">
      <c r="A18" s="10" t="s">
        <v>2</v>
      </c>
      <c r="B18" s="2">
        <v>0.25270103696450402</v>
      </c>
      <c r="C18" s="2">
        <v>0.28999999999999998</v>
      </c>
      <c r="D18" s="4">
        <f>SUM(B18:C18)</f>
        <v>0.542701036964504</v>
      </c>
    </row>
    <row r="19" spans="1:4" x14ac:dyDescent="0.25">
      <c r="A19" s="10" t="s">
        <v>5</v>
      </c>
      <c r="B19" s="2">
        <v>0.15936649976387199</v>
      </c>
      <c r="C19" s="2">
        <v>0.38</v>
      </c>
      <c r="D19" s="4">
        <f>SUM(B19:C19)</f>
        <v>0.53936649976387196</v>
      </c>
    </row>
    <row r="20" spans="1:4" x14ac:dyDescent="0.25">
      <c r="A20" s="10" t="s">
        <v>51</v>
      </c>
      <c r="B20" s="2">
        <v>0.193284080859251</v>
      </c>
      <c r="C20" s="2">
        <v>0.31</v>
      </c>
      <c r="D20" s="4">
        <f>SUM(B20:C20)</f>
        <v>0.50328408085925103</v>
      </c>
    </row>
    <row r="21" spans="1:4" x14ac:dyDescent="0.25">
      <c r="A21" s="10" t="s">
        <v>8</v>
      </c>
      <c r="B21" s="2">
        <v>0.25768196356081902</v>
      </c>
      <c r="C21" s="2">
        <v>0.22</v>
      </c>
      <c r="D21" s="4">
        <f>SUM(B21:C21)</f>
        <v>0.47768196356081905</v>
      </c>
    </row>
    <row r="22" spans="1:4" x14ac:dyDescent="0.25">
      <c r="A22" s="10" t="s">
        <v>27</v>
      </c>
      <c r="B22" s="2">
        <v>0.114080165304232</v>
      </c>
      <c r="C22" s="2">
        <v>0.36</v>
      </c>
      <c r="D22" s="4">
        <f>SUM(B22:C22)</f>
        <v>0.47408016530423197</v>
      </c>
    </row>
    <row r="23" spans="1:4" x14ac:dyDescent="0.25">
      <c r="A23" s="10" t="s">
        <v>46</v>
      </c>
      <c r="B23" s="2">
        <v>5.64998373094594E-2</v>
      </c>
      <c r="C23" s="2">
        <v>0.41</v>
      </c>
      <c r="D23" s="4">
        <f>SUM(B23:C23)</f>
        <v>0.46649983730945938</v>
      </c>
    </row>
    <row r="24" spans="1:4" x14ac:dyDescent="0.25">
      <c r="A24" s="10" t="s">
        <v>21</v>
      </c>
      <c r="B24" s="2">
        <v>0.17279616554421601</v>
      </c>
      <c r="C24" s="2">
        <v>0.28000000000000003</v>
      </c>
      <c r="D24" s="4">
        <f>SUM(B24:C24)</f>
        <v>0.45279616554421603</v>
      </c>
    </row>
    <row r="25" spans="1:4" x14ac:dyDescent="0.25">
      <c r="A25" s="10" t="s">
        <v>26</v>
      </c>
      <c r="B25" s="2">
        <v>0.27176075589967802</v>
      </c>
      <c r="C25" s="2">
        <v>0.18</v>
      </c>
      <c r="D25" s="4">
        <f>SUM(B25:C25)</f>
        <v>0.45176075589967801</v>
      </c>
    </row>
    <row r="26" spans="1:4" x14ac:dyDescent="0.25">
      <c r="A26" s="10" t="s">
        <v>14</v>
      </c>
      <c r="B26" s="2">
        <v>0.107594065667151</v>
      </c>
      <c r="C26" s="2">
        <v>0.34</v>
      </c>
      <c r="D26" s="4">
        <f>SUM(B26:C26)</f>
        <v>0.44759406566715104</v>
      </c>
    </row>
    <row r="27" spans="1:4" x14ac:dyDescent="0.25">
      <c r="A27" s="10" t="s">
        <v>13</v>
      </c>
      <c r="B27" s="2">
        <v>0.12190211731124</v>
      </c>
      <c r="C27" s="2">
        <v>0.32</v>
      </c>
      <c r="D27" s="4">
        <f>SUM(B27:C27)</f>
        <v>0.44190211731124002</v>
      </c>
    </row>
    <row r="28" spans="1:4" x14ac:dyDescent="0.25">
      <c r="A28" s="10" t="s">
        <v>6</v>
      </c>
      <c r="B28" s="2">
        <v>7.6909324827467096E-2</v>
      </c>
      <c r="C28" s="2">
        <v>0.36</v>
      </c>
      <c r="D28" s="4">
        <f>SUM(B28:C28)</f>
        <v>0.43690932482746708</v>
      </c>
    </row>
    <row r="29" spans="1:4" x14ac:dyDescent="0.25">
      <c r="A29" s="10" t="s">
        <v>45</v>
      </c>
      <c r="B29" s="2">
        <v>0.20144712828643899</v>
      </c>
      <c r="C29" s="2">
        <v>0.23</v>
      </c>
      <c r="D29" s="4">
        <f>SUM(B29:C29)</f>
        <v>0.431447128286439</v>
      </c>
    </row>
    <row r="30" spans="1:4" x14ac:dyDescent="0.25">
      <c r="A30" s="10" t="s">
        <v>18</v>
      </c>
      <c r="B30" s="2">
        <v>1.3182906202558801E-2</v>
      </c>
      <c r="C30" s="2">
        <v>0.4</v>
      </c>
      <c r="D30" s="4">
        <f>SUM(B30:C30)</f>
        <v>0.41318290620255882</v>
      </c>
    </row>
    <row r="31" spans="1:4" x14ac:dyDescent="0.25">
      <c r="A31" s="10" t="s">
        <v>39</v>
      </c>
      <c r="B31" s="2">
        <v>0.18935274979229899</v>
      </c>
      <c r="C31" s="2">
        <v>0.21</v>
      </c>
      <c r="D31" s="4">
        <f>SUM(B31:C31)</f>
        <v>0.39935274979229896</v>
      </c>
    </row>
  </sheetData>
  <sortState xmlns:xlrd2="http://schemas.microsoft.com/office/spreadsheetml/2017/richdata2" ref="A2:D31">
    <sortCondition descending="1" ref="D2:D31"/>
  </sortState>
  <conditionalFormatting sqref="B2:C31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0EC4-E2F8-4FAA-B806-257B5E46B033}">
  <dimension ref="A1:D31"/>
  <sheetViews>
    <sheetView workbookViewId="0"/>
  </sheetViews>
  <sheetFormatPr defaultRowHeight="15" x14ac:dyDescent="0.25"/>
  <sheetData>
    <row r="1" spans="1:4" x14ac:dyDescent="0.25">
      <c r="A1" s="1" t="s">
        <v>29</v>
      </c>
      <c r="B1" s="7" t="s">
        <v>33</v>
      </c>
      <c r="C1" s="8" t="s">
        <v>37</v>
      </c>
      <c r="D1" s="9" t="s">
        <v>38</v>
      </c>
    </row>
    <row r="2" spans="1:4" x14ac:dyDescent="0.25">
      <c r="A2" s="10" t="s">
        <v>10</v>
      </c>
      <c r="B2" s="2">
        <v>0.44709525205401501</v>
      </c>
      <c r="C2" s="5">
        <v>0.45</v>
      </c>
      <c r="D2" s="4">
        <f>SUM(B2:C2)</f>
        <v>0.89709525205401497</v>
      </c>
    </row>
    <row r="3" spans="1:4" x14ac:dyDescent="0.25">
      <c r="A3" s="10" t="s">
        <v>3</v>
      </c>
      <c r="B3" s="2">
        <v>0.47303511353585198</v>
      </c>
      <c r="C3" s="5">
        <v>0.42</v>
      </c>
      <c r="D3" s="4">
        <f>SUM(B3:C3)</f>
        <v>0.89303511353585197</v>
      </c>
    </row>
    <row r="4" spans="1:4" x14ac:dyDescent="0.25">
      <c r="A4" s="10" t="s">
        <v>2</v>
      </c>
      <c r="B4" s="2">
        <v>0.46301788671421601</v>
      </c>
      <c r="C4" s="5">
        <v>0.4</v>
      </c>
      <c r="D4" s="4">
        <f>SUM(B4:C4)</f>
        <v>0.86301788671421598</v>
      </c>
    </row>
    <row r="5" spans="1:4" x14ac:dyDescent="0.25">
      <c r="A5" s="10" t="s">
        <v>0</v>
      </c>
      <c r="B5" s="2">
        <v>0.42752916341810199</v>
      </c>
      <c r="C5" s="5">
        <v>0.43</v>
      </c>
      <c r="D5" s="4">
        <f>SUM(B5:C5)</f>
        <v>0.85752916341810193</v>
      </c>
    </row>
    <row r="6" spans="1:4" x14ac:dyDescent="0.25">
      <c r="A6" s="10" t="s">
        <v>20</v>
      </c>
      <c r="B6" s="2">
        <v>0.30877243264432902</v>
      </c>
      <c r="C6" s="5">
        <v>0.53</v>
      </c>
      <c r="D6" s="4">
        <f>SUM(B6:C6)</f>
        <v>0.8387724326443291</v>
      </c>
    </row>
    <row r="7" spans="1:4" x14ac:dyDescent="0.25">
      <c r="A7" s="10" t="s">
        <v>16</v>
      </c>
      <c r="B7" s="2">
        <v>0.33355388853476903</v>
      </c>
      <c r="C7" s="5">
        <v>0.49</v>
      </c>
      <c r="D7" s="4">
        <f>SUM(B7:C7)</f>
        <v>0.82355388853476907</v>
      </c>
    </row>
    <row r="8" spans="1:4" x14ac:dyDescent="0.25">
      <c r="A8" s="10" t="s">
        <v>8</v>
      </c>
      <c r="B8" s="2">
        <v>0.35721372797881701</v>
      </c>
      <c r="C8" s="5">
        <v>0.46</v>
      </c>
      <c r="D8" s="4">
        <f>SUM(B8:C8)</f>
        <v>0.81721372797881697</v>
      </c>
    </row>
    <row r="9" spans="1:4" x14ac:dyDescent="0.25">
      <c r="A9" s="10" t="s">
        <v>18</v>
      </c>
      <c r="B9" s="2">
        <v>0.27800295069625303</v>
      </c>
      <c r="C9" s="5">
        <v>0.51</v>
      </c>
      <c r="D9" s="4">
        <f>SUM(B9:C9)</f>
        <v>0.78800295069625304</v>
      </c>
    </row>
    <row r="10" spans="1:4" x14ac:dyDescent="0.25">
      <c r="A10" s="10" t="s">
        <v>1</v>
      </c>
      <c r="B10" s="2">
        <v>0.39303508036610402</v>
      </c>
      <c r="C10" s="5">
        <v>0.38</v>
      </c>
      <c r="D10" s="4">
        <f>SUM(B10:C10)</f>
        <v>0.77303508036610402</v>
      </c>
    </row>
    <row r="11" spans="1:4" x14ac:dyDescent="0.25">
      <c r="A11" s="10" t="s">
        <v>17</v>
      </c>
      <c r="B11" s="2">
        <v>0.28843188263610098</v>
      </c>
      <c r="C11" s="5">
        <v>0.46</v>
      </c>
      <c r="D11" s="4">
        <f>SUM(B11:C11)</f>
        <v>0.74843188263610094</v>
      </c>
    </row>
    <row r="12" spans="1:4" x14ac:dyDescent="0.25">
      <c r="A12" s="10" t="s">
        <v>43</v>
      </c>
      <c r="B12" s="2">
        <v>0.30324820301234601</v>
      </c>
      <c r="C12" s="5">
        <v>0.43</v>
      </c>
      <c r="D12" s="4">
        <f>SUM(B12:C12)</f>
        <v>0.73324820301234594</v>
      </c>
    </row>
    <row r="13" spans="1:4" x14ac:dyDescent="0.25">
      <c r="A13" s="10" t="s">
        <v>50</v>
      </c>
      <c r="B13" s="2">
        <v>0.31236935156178303</v>
      </c>
      <c r="C13" s="5">
        <v>0.42</v>
      </c>
      <c r="D13" s="4">
        <f>SUM(B13:C13)</f>
        <v>0.73236935156178307</v>
      </c>
    </row>
    <row r="14" spans="1:4" x14ac:dyDescent="0.25">
      <c r="A14" s="10" t="s">
        <v>45</v>
      </c>
      <c r="B14" s="2">
        <v>0.30762944754472799</v>
      </c>
      <c r="C14" s="5">
        <v>0.41</v>
      </c>
      <c r="D14" s="4">
        <f>SUM(B14:C14)</f>
        <v>0.71762944754472802</v>
      </c>
    </row>
    <row r="15" spans="1:4" x14ac:dyDescent="0.25">
      <c r="A15" s="10" t="s">
        <v>21</v>
      </c>
      <c r="B15" s="2">
        <v>0.36047695653774597</v>
      </c>
      <c r="C15" s="5">
        <v>0.35</v>
      </c>
      <c r="D15" s="4">
        <f>SUM(B15:C15)</f>
        <v>0.71047695653774601</v>
      </c>
    </row>
    <row r="16" spans="1:4" x14ac:dyDescent="0.25">
      <c r="A16" s="10" t="s">
        <v>5</v>
      </c>
      <c r="B16" s="2">
        <v>0.32756643977423799</v>
      </c>
      <c r="C16" s="5">
        <v>0.36</v>
      </c>
      <c r="D16" s="4">
        <f>SUM(B16:C16)</f>
        <v>0.68756643977423804</v>
      </c>
    </row>
    <row r="17" spans="1:4" x14ac:dyDescent="0.25">
      <c r="A17" s="10" t="s">
        <v>23</v>
      </c>
      <c r="B17" s="2">
        <v>0.36501009756634001</v>
      </c>
      <c r="C17" s="5">
        <v>0.31</v>
      </c>
      <c r="D17" s="4">
        <f>SUM(B17:C17)</f>
        <v>0.67501009756634001</v>
      </c>
    </row>
    <row r="18" spans="1:4" x14ac:dyDescent="0.25">
      <c r="A18" s="10" t="s">
        <v>25</v>
      </c>
      <c r="B18" s="2">
        <v>0.29512173713351503</v>
      </c>
      <c r="C18" s="5">
        <v>0.37</v>
      </c>
      <c r="D18" s="4">
        <f>SUM(B18:C18)</f>
        <v>0.66512173713351497</v>
      </c>
    </row>
    <row r="19" spans="1:4" x14ac:dyDescent="0.25">
      <c r="A19" s="10" t="s">
        <v>24</v>
      </c>
      <c r="B19" s="2">
        <v>0.34262752856428003</v>
      </c>
      <c r="C19" s="5">
        <v>0.32</v>
      </c>
      <c r="D19" s="4">
        <f>SUM(B19:C19)</f>
        <v>0.66262752856427998</v>
      </c>
    </row>
    <row r="20" spans="1:4" x14ac:dyDescent="0.25">
      <c r="A20" s="10" t="s">
        <v>26</v>
      </c>
      <c r="B20" s="2">
        <v>0.321085133995057</v>
      </c>
      <c r="C20" s="5">
        <v>0.34</v>
      </c>
      <c r="D20" s="4">
        <f>SUM(B20:C20)</f>
        <v>0.66108513399505697</v>
      </c>
    </row>
    <row r="21" spans="1:4" x14ac:dyDescent="0.25">
      <c r="A21" s="10" t="s">
        <v>39</v>
      </c>
      <c r="B21" s="2">
        <v>0.300217323241881</v>
      </c>
      <c r="C21" s="5">
        <v>0.36</v>
      </c>
      <c r="D21" s="4">
        <f>SUM(B21:C21)</f>
        <v>0.66021732324188098</v>
      </c>
    </row>
    <row r="22" spans="1:4" x14ac:dyDescent="0.25">
      <c r="A22" s="10" t="s">
        <v>52</v>
      </c>
      <c r="B22" s="2">
        <v>0.28791952463973403</v>
      </c>
      <c r="C22" s="5">
        <v>0.37</v>
      </c>
      <c r="D22" s="4">
        <f>SUM(B22:C22)</f>
        <v>0.65791952463973402</v>
      </c>
    </row>
    <row r="23" spans="1:4" x14ac:dyDescent="0.25">
      <c r="A23" s="10" t="s">
        <v>6</v>
      </c>
      <c r="B23" s="2">
        <v>0.30693957889385598</v>
      </c>
      <c r="C23" s="5">
        <v>0.35</v>
      </c>
      <c r="D23" s="4">
        <f>SUM(B23:C23)</f>
        <v>0.6569395788938559</v>
      </c>
    </row>
    <row r="24" spans="1:4" x14ac:dyDescent="0.25">
      <c r="A24" s="10" t="s">
        <v>40</v>
      </c>
      <c r="B24" s="2">
        <v>0.26030939994278202</v>
      </c>
      <c r="C24" s="5">
        <v>0.37</v>
      </c>
      <c r="D24" s="4">
        <f>SUM(B24:C24)</f>
        <v>0.63030939994278201</v>
      </c>
    </row>
    <row r="25" spans="1:4" x14ac:dyDescent="0.25">
      <c r="A25" s="10" t="s">
        <v>4</v>
      </c>
      <c r="B25" s="2">
        <v>0.24819449826419501</v>
      </c>
      <c r="C25" s="5">
        <v>0.38</v>
      </c>
      <c r="D25" s="4">
        <f>SUM(B25:C25)</f>
        <v>0.62819449826419504</v>
      </c>
    </row>
    <row r="26" spans="1:4" x14ac:dyDescent="0.25">
      <c r="A26" s="10" t="s">
        <v>7</v>
      </c>
      <c r="B26" s="2">
        <v>0.27586092479115898</v>
      </c>
      <c r="C26" s="5">
        <v>0.35</v>
      </c>
      <c r="D26" s="4">
        <f>SUM(B26:C26)</f>
        <v>0.62586092479115896</v>
      </c>
    </row>
    <row r="27" spans="1:4" x14ac:dyDescent="0.25">
      <c r="A27" s="10" t="s">
        <v>46</v>
      </c>
      <c r="B27" s="2">
        <v>0.17427243839117401</v>
      </c>
      <c r="C27" s="5">
        <v>0.44</v>
      </c>
      <c r="D27" s="4">
        <f>SUM(B27:C27)</f>
        <v>0.61427243839117396</v>
      </c>
    </row>
    <row r="28" spans="1:4" x14ac:dyDescent="0.25">
      <c r="A28" s="10" t="s">
        <v>9</v>
      </c>
      <c r="B28" s="2">
        <v>0.26700650245002699</v>
      </c>
      <c r="C28" s="5">
        <v>0.34</v>
      </c>
      <c r="D28" s="4">
        <f>SUM(B28:C28)</f>
        <v>0.60700650245002707</v>
      </c>
    </row>
    <row r="29" spans="1:4" x14ac:dyDescent="0.25">
      <c r="A29" s="10" t="s">
        <v>13</v>
      </c>
      <c r="B29" s="2">
        <v>0.25445985640983398</v>
      </c>
      <c r="C29" s="5">
        <v>0.35</v>
      </c>
      <c r="D29" s="4">
        <f>SUM(B29:C29)</f>
        <v>0.60445985640983402</v>
      </c>
    </row>
    <row r="30" spans="1:4" x14ac:dyDescent="0.25">
      <c r="A30" s="10" t="s">
        <v>11</v>
      </c>
      <c r="B30" s="2">
        <v>0.27353770106015701</v>
      </c>
      <c r="C30" s="5">
        <v>0.31</v>
      </c>
      <c r="D30" s="4">
        <f>SUM(B30:C30)</f>
        <v>0.58353770106015701</v>
      </c>
    </row>
    <row r="31" spans="1:4" x14ac:dyDescent="0.25">
      <c r="A31" s="10" t="s">
        <v>19</v>
      </c>
      <c r="B31" s="2">
        <v>0.32060804856045999</v>
      </c>
      <c r="C31" s="5">
        <v>0.26</v>
      </c>
      <c r="D31" s="4">
        <f>SUM(B31:C31)</f>
        <v>0.58060804856046</v>
      </c>
    </row>
  </sheetData>
  <sortState xmlns:xlrd2="http://schemas.microsoft.com/office/spreadsheetml/2017/richdata2" ref="A2:D31">
    <sortCondition descending="1" ref="D2:D31"/>
  </sortState>
  <conditionalFormatting sqref="B2:C31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NF</vt:lpstr>
      <vt:lpstr>NV</vt:lpstr>
      <vt:lpstr>NM</vt:lpstr>
      <vt:lpstr>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yuhang</dc:creator>
  <cp:lastModifiedBy>Yuhang Meng</cp:lastModifiedBy>
  <dcterms:created xsi:type="dcterms:W3CDTF">2015-06-05T18:17:20Z</dcterms:created>
  <dcterms:modified xsi:type="dcterms:W3CDTF">2025-12-17T16:21:14Z</dcterms:modified>
</cp:coreProperties>
</file>